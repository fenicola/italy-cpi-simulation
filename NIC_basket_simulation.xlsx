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nicola/Desktop/"/>
    </mc:Choice>
  </mc:AlternateContent>
  <xr:revisionPtr revIDLastSave="0" documentId="13_ncr:1_{BFAF6298-7A8D-654C-B136-58977406F85F}" xr6:coauthVersionLast="47" xr6:coauthVersionMax="47" xr10:uidLastSave="{00000000-0000-0000-0000-000000000000}"/>
  <bookViews>
    <workbookView xWindow="0" yWindow="0" windowWidth="28800" windowHeight="18000" tabRatio="500" activeTab="1" xr2:uid="{00000000-000D-0000-FFFF-FFFF00000000}"/>
  </bookViews>
  <sheets>
    <sheet name="Composizione del NIC" sheetId="1" r:id="rId1"/>
    <sheet name="Simulazione famiglia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3" i="2" l="1"/>
  <c r="C32" i="2"/>
  <c r="C34" i="2" s="1"/>
  <c r="C27" i="2"/>
  <c r="C26" i="2"/>
  <c r="C25" i="2"/>
  <c r="C20" i="2"/>
  <c r="B20" i="2"/>
  <c r="C19" i="2"/>
  <c r="C18" i="2"/>
  <c r="C17" i="2"/>
  <c r="C16" i="2"/>
  <c r="C15" i="2"/>
  <c r="C14" i="2"/>
  <c r="C13" i="2"/>
  <c r="C12" i="2"/>
  <c r="C11" i="2"/>
  <c r="C10" i="2"/>
  <c r="C9" i="2"/>
  <c r="C8" i="2"/>
  <c r="B22" i="1"/>
</calcChain>
</file>

<file path=xl/sharedStrings.xml><?xml version="1.0" encoding="utf-8"?>
<sst xmlns="http://schemas.openxmlformats.org/spreadsheetml/2006/main" count="76" uniqueCount="59">
  <si>
    <t>Composizione del paniere NIC</t>
  </si>
  <si>
    <t>Il NIC è il principale indice con cui l'ISTAT misura l'inflazione in Italia. Considera l'intera popolazione come se fosse un'unica grande famiglia di consumatori. L'ISTAT stima cosa acquista "l'italiano medio" e in che proporzione, costruendo un "paniere" di beni e servizi a cui assegna un peso percentuale. Monitorando nel tempo i prezzi medi di queste voci, calcola di quanto aumenta il costo del paniere: questa è l'inflazione. Più una categoria pesa, più i suoi rincari influenzano il dato finale dell'inflazione.</t>
  </si>
  <si>
    <t>Categoria</t>
  </si>
  <si>
    <t>Peso %</t>
  </si>
  <si>
    <t>Descrizione della voce</t>
  </si>
  <si>
    <t>Prodotti alimentari e bevande</t>
  </si>
  <si>
    <t>Tutto ciò che si acquista per mangiare e bere a casa: pane, pasta, carne, pesce, frutta, verdura, latticini e bevande analcoliche. È la voce più pesante del paniere.</t>
  </si>
  <si>
    <t>Bevande alcoliche e tabacchi</t>
  </si>
  <si>
    <t>Vino, birra, superalcolici e prodotti del tabacco (sigarette, sigari, trinciati).</t>
  </si>
  <si>
    <t>Abbigliamento</t>
  </si>
  <si>
    <t>Vestiti e calzature per adulti e bambini, oltre agli accessori per l'abbigliamento.</t>
  </si>
  <si>
    <t>Abitazione, acqua, elettricità, combustibili</t>
  </si>
  <si>
    <t>Affitti, acqua, energia elettrica, gas e altri combustibili per la casa. Non include l'acquisto della casa né il mutuo, considerati un investimento e non un consumo.</t>
  </si>
  <si>
    <t>Mobili, articoli per la casa</t>
  </si>
  <si>
    <t>Arredamento, elettrodomestici, utensili e prodotti per la manutenzione ordinaria dell'abitazione.</t>
  </si>
  <si>
    <t>Spese e servizi sanitari</t>
  </si>
  <si>
    <t>Farmaci, visite mediche, dispositivi medici e servizi sanitari. Include anche la quota di spesa a carico della collettività (es. farmaci e prestazioni del SSN).</t>
  </si>
  <si>
    <t>Trasporti</t>
  </si>
  <si>
    <t>Acquisto e gestione dei mezzi (auto, carburante, manutenzione, assicurazione) e i servizi di trasporto (treni, autobus, aerei).</t>
  </si>
  <si>
    <t>Comunicazioni</t>
  </si>
  <si>
    <t>Telefonia fissa e mobile, internet, servizi postali e apparecchi telefonici. È una delle poche voci i cui prezzi tendono a diminuire nel tempo.</t>
  </si>
  <si>
    <t>Ricreazione, spettacoli, spese culturali</t>
  </si>
  <si>
    <t>Tempo libero e cultura: sport, cinema, libri, giornali, articoli ricreativi, animali domestici e vacanze.</t>
  </si>
  <si>
    <t>Istruzione</t>
  </si>
  <si>
    <t>Rette scolastiche e universitarie, corsi di formazione. È la voce più leggera del paniere.</t>
  </si>
  <si>
    <t>Servizi ricettivi e di ristorazione</t>
  </si>
  <si>
    <t>I consumi fuori casa: ristoranti, bar, mense, alberghi e strutture ricettive.</t>
  </si>
  <si>
    <t>Altro</t>
  </si>
  <si>
    <t>Voci residue: cura della persona, servizi finanziari e assicurativi, assistenza alla persona ed effetti personali vari.</t>
  </si>
  <si>
    <t>Totale</t>
  </si>
  <si>
    <t>Simulazione: quanto dovrebbe spendere una famiglia secondo il NIC</t>
  </si>
  <si>
    <t>Inserisci la spesa mensile totale: ogni voce viene ricalcolata applicando i pesi del NIC. Confronta gli importi con la spesa reale per vedere quanto l'indice è poco realistico.</t>
  </si>
  <si>
    <t>Spesa mensile totale della famiglia (€):</t>
  </si>
  <si>
    <t>◄ modifica questo valore</t>
  </si>
  <si>
    <t>Famiglia di 3 persone (una coppia con un figlio)</t>
  </si>
  <si>
    <t>Spesa prevista dal NIC (€)</t>
  </si>
  <si>
    <t>Totale previsto dal NIC</t>
  </si>
  <si>
    <t>≈ 99,9% del totale per via degli arrotondamenti dei pesi.</t>
  </si>
  <si>
    <t>Dettaglio di alcune voci citate nel video</t>
  </si>
  <si>
    <t>Voce</t>
  </si>
  <si>
    <t>Commento</t>
  </si>
  <si>
    <t>Affitti reali per l'abitazione principale</t>
  </si>
  <si>
    <t>Energia elettrica</t>
  </si>
  <si>
    <t>Automobile</t>
  </si>
  <si>
    <t>Vedi calcolo qui sotto: il costo reale è ben superiore a quello previsto dall'indice.</t>
  </si>
  <si>
    <t>Prezzo Fiat Panda base (€)</t>
  </si>
  <si>
    <t>Anni di utilizzo</t>
  </si>
  <si>
    <t>Costo mensile reale (€)</t>
  </si>
  <si>
    <t>Spesa auto prevista dal NIC (€)</t>
  </si>
  <si>
    <t>Differenza (reale − NIC) (€)</t>
  </si>
  <si>
    <t>Conclusione: il NIC è una media costruita su un "italiano medio" che non corrisponde alla spesa reale di nessuna famiglia specifica. Per questo l'inflazione percepita può essere molto più alta di quella ufficiale.</t>
  </si>
  <si>
    <t>Indice Nazionale dei prezzi al consumo per l'Intera Collettività</t>
  </si>
  <si>
    <t>La sola automobile pesa il 3,5% (≈ €70/mese), ma una Fiat Panda base da €14.700 tenuta 12 anni costa ≈ €102/mese (vedi calcolo in basso).</t>
  </si>
  <si>
    <t>~€240 "per tutto" sembra pochissimo; un affitto per 3 persone supera già da solo questa cifra, senza contare gas ed elettricità.</t>
  </si>
  <si>
    <t>Stiamo considerando 240 euro per tre persone, una cifra sicuramente bassa (considerando che stiamo parlando di una percentuale basata su uno stipendio da 2000 euro</t>
  </si>
  <si>
    <t>è una voce i cui prezzi calano davvero nel tempo (oggi esistono piani da €5/mese).</t>
  </si>
  <si>
    <t>Solo ~20% degli italiani vive in affitto: per loro questo peso è del tutto irrealistico</t>
  </si>
  <si>
    <t>(già comprese nelle divisioni sopra: affitti ed energia dentro "Abitazione…", automobile dentro "Trasporti", qui isolate per mostrarne il peso reale)</t>
  </si>
  <si>
    <t>Costo reale dell'automobile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</si>
</sst>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#,##0.00"/>
  </numFmts>
  <fonts count="9" x14ac:knownFonts="1">
    <font>
      <sz val="11"/>
      <color theme="1"/>
      <name val="Calibri"/>
      <family val="2"/>
      <charset val="1"/>
    </font>
    <font>
      <b/>
      <sz val="15"/>
      <color rgb="FF2F5496"/>
      <name val="Arial"/>
      <family val="2"/>
    </font>
    <font>
      <i/>
      <sz val="10"/>
      <color rgb="FF595959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b/>
      <sz val="12"/>
      <color rgb="FF0000FF"/>
      <name val="Arial"/>
      <family val="2"/>
    </font>
    <font>
      <i/>
      <sz val="11"/>
      <color rgb="FF595959"/>
      <name val="Arial"/>
      <family val="2"/>
    </font>
    <font>
      <i/>
      <sz val="10"/>
      <color rgb="FF2F549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E2EFDA"/>
      </patternFill>
    </fill>
    <fill>
      <patternFill patternType="solid">
        <fgColor rgb="FF2F5496"/>
        <bgColor rgb="FF595959"/>
      </patternFill>
    </fill>
    <fill>
      <patternFill patternType="solid">
        <fgColor rgb="FFE2EFDA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8" fillId="0" borderId="0" xfId="0" applyFont="1" applyAlignment="1">
      <alignment vertical="top" wrapText="1"/>
    </xf>
    <xf numFmtId="0" fontId="5" fillId="0" borderId="1" xfId="0" applyFont="1" applyBorder="1"/>
    <xf numFmtId="0" fontId="5" fillId="6" borderId="0" xfId="0" applyFont="1" applyFill="1"/>
    <xf numFmtId="0" fontId="7" fillId="0" borderId="0" xfId="0" applyFont="1"/>
    <xf numFmtId="0" fontId="5" fillId="0" borderId="0" xfId="0" applyFont="1"/>
    <xf numFmtId="0" fontId="3" fillId="2" borderId="0" xfId="0" applyFont="1" applyFill="1" applyAlignment="1">
      <alignment vertical="top" wrapText="1"/>
    </xf>
    <xf numFmtId="0" fontId="2" fillId="0" borderId="0" xfId="0" applyFont="1"/>
    <xf numFmtId="0" fontId="1" fillId="0" borderId="0" xfId="0" applyFont="1"/>
    <xf numFmtId="0" fontId="2" fillId="0" borderId="0" xfId="0" applyFont="1"/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top" wrapText="1"/>
    </xf>
    <xf numFmtId="10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5" fillId="4" borderId="1" xfId="0" applyFont="1" applyFill="1" applyBorder="1"/>
    <xf numFmtId="10" fontId="5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/>
    <xf numFmtId="164" fontId="6" fillId="5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top" wrapText="1"/>
    </xf>
    <xf numFmtId="1" fontId="6" fillId="5" borderId="1" xfId="0" applyNumberFormat="1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96FCE43-7171-D84D-B906-AE5FDF05B78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e381d5a7-d644-4b75-9797-fb925fad9211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showGridLines="0" zoomScale="93" zoomScaleNormal="100" workbookViewId="0">
      <selection activeCell="B10" sqref="B10"/>
    </sheetView>
  </sheetViews>
  <sheetFormatPr baseColWidth="10" defaultColWidth="8.6640625" defaultRowHeight="15" x14ac:dyDescent="0.2"/>
  <cols>
    <col min="1" max="1" width="40" customWidth="1"/>
    <col min="2" max="2" width="12" customWidth="1"/>
    <col min="3" max="3" width="85" customWidth="1"/>
  </cols>
  <sheetData>
    <row r="1" spans="1:3" ht="19" x14ac:dyDescent="0.2">
      <c r="A1" s="8" t="s">
        <v>0</v>
      </c>
      <c r="B1" s="8"/>
      <c r="C1" s="8"/>
    </row>
    <row r="2" spans="1:3" x14ac:dyDescent="0.2">
      <c r="A2" s="7" t="s">
        <v>51</v>
      </c>
      <c r="B2" s="7"/>
      <c r="C2" s="7"/>
    </row>
    <row r="4" spans="1:3" ht="15" customHeight="1" x14ac:dyDescent="0.2">
      <c r="A4" s="6" t="s">
        <v>1</v>
      </c>
      <c r="B4" s="6"/>
      <c r="C4" s="6"/>
    </row>
    <row r="5" spans="1:3" x14ac:dyDescent="0.2">
      <c r="A5" s="6"/>
      <c r="B5" s="6"/>
      <c r="C5" s="6"/>
    </row>
    <row r="6" spans="1:3" x14ac:dyDescent="0.2">
      <c r="A6" s="6"/>
      <c r="B6" s="6"/>
      <c r="C6" s="6"/>
    </row>
    <row r="7" spans="1:3" x14ac:dyDescent="0.2">
      <c r="A7" s="6"/>
      <c r="B7" s="6"/>
      <c r="C7" s="6"/>
    </row>
    <row r="9" spans="1:3" x14ac:dyDescent="0.2">
      <c r="A9" s="10" t="s">
        <v>2</v>
      </c>
      <c r="B9" s="10" t="s">
        <v>3</v>
      </c>
      <c r="C9" s="10" t="s">
        <v>4</v>
      </c>
    </row>
    <row r="10" spans="1:3" ht="45.75" customHeight="1" x14ac:dyDescent="0.2">
      <c r="A10" s="11" t="s">
        <v>5</v>
      </c>
      <c r="B10" s="12">
        <v>0.17</v>
      </c>
      <c r="C10" s="13" t="s">
        <v>6</v>
      </c>
    </row>
    <row r="11" spans="1:3" ht="45.75" customHeight="1" x14ac:dyDescent="0.2">
      <c r="A11" s="11" t="s">
        <v>7</v>
      </c>
      <c r="B11" s="12">
        <v>0.03</v>
      </c>
      <c r="C11" s="13" t="s">
        <v>8</v>
      </c>
    </row>
    <row r="12" spans="1:3" ht="45.75" customHeight="1" x14ac:dyDescent="0.2">
      <c r="A12" s="11" t="s">
        <v>9</v>
      </c>
      <c r="B12" s="12">
        <v>0.06</v>
      </c>
      <c r="C12" s="13" t="s">
        <v>10</v>
      </c>
    </row>
    <row r="13" spans="1:3" ht="45.75" customHeight="1" x14ac:dyDescent="0.2">
      <c r="A13" s="11" t="s">
        <v>11</v>
      </c>
      <c r="B13" s="12">
        <v>0.12</v>
      </c>
      <c r="C13" s="13" t="s">
        <v>12</v>
      </c>
    </row>
    <row r="14" spans="1:3" ht="45.75" customHeight="1" x14ac:dyDescent="0.2">
      <c r="A14" s="11" t="s">
        <v>13</v>
      </c>
      <c r="B14" s="12">
        <v>7.0000000000000007E-2</v>
      </c>
      <c r="C14" s="13" t="s">
        <v>14</v>
      </c>
    </row>
    <row r="15" spans="1:3" ht="45.75" customHeight="1" x14ac:dyDescent="0.2">
      <c r="A15" s="11" t="s">
        <v>15</v>
      </c>
      <c r="B15" s="12">
        <v>0.08</v>
      </c>
      <c r="C15" s="13" t="s">
        <v>16</v>
      </c>
    </row>
    <row r="16" spans="1:3" ht="45.75" customHeight="1" x14ac:dyDescent="0.2">
      <c r="A16" s="11" t="s">
        <v>17</v>
      </c>
      <c r="B16" s="12">
        <v>0.15</v>
      </c>
      <c r="C16" s="13" t="s">
        <v>18</v>
      </c>
    </row>
    <row r="17" spans="1:3" ht="45.75" customHeight="1" x14ac:dyDescent="0.2">
      <c r="A17" s="11" t="s">
        <v>19</v>
      </c>
      <c r="B17" s="12">
        <v>0.02</v>
      </c>
      <c r="C17" s="13" t="s">
        <v>20</v>
      </c>
    </row>
    <row r="18" spans="1:3" ht="45.75" customHeight="1" x14ac:dyDescent="0.2">
      <c r="A18" s="11" t="s">
        <v>21</v>
      </c>
      <c r="B18" s="12">
        <v>7.0000000000000007E-2</v>
      </c>
      <c r="C18" s="13" t="s">
        <v>22</v>
      </c>
    </row>
    <row r="19" spans="1:3" ht="45.75" customHeight="1" x14ac:dyDescent="0.2">
      <c r="A19" s="11" t="s">
        <v>23</v>
      </c>
      <c r="B19" s="12">
        <v>9.1999999999999998E-3</v>
      </c>
      <c r="C19" s="13" t="s">
        <v>24</v>
      </c>
    </row>
    <row r="20" spans="1:3" ht="45.75" customHeight="1" x14ac:dyDescent="0.2">
      <c r="A20" s="11" t="s">
        <v>25</v>
      </c>
      <c r="B20" s="12">
        <v>0.12</v>
      </c>
      <c r="C20" s="13" t="s">
        <v>26</v>
      </c>
    </row>
    <row r="21" spans="1:3" ht="45.75" customHeight="1" x14ac:dyDescent="0.2">
      <c r="A21" s="11" t="s">
        <v>27</v>
      </c>
      <c r="B21" s="12">
        <v>0.1</v>
      </c>
      <c r="C21" s="13" t="s">
        <v>28</v>
      </c>
    </row>
    <row r="22" spans="1:3" x14ac:dyDescent="0.2">
      <c r="A22" s="14" t="s">
        <v>29</v>
      </c>
      <c r="B22" s="15">
        <f>SUM(B10:B21)</f>
        <v>0.99919999999999998</v>
      </c>
      <c r="C22" s="16"/>
    </row>
    <row r="23" spans="1:3" x14ac:dyDescent="0.2">
      <c r="A23" s="7"/>
      <c r="B23" s="7"/>
      <c r="C23" s="7"/>
    </row>
  </sheetData>
  <mergeCells count="4">
    <mergeCell ref="A1:C1"/>
    <mergeCell ref="A2:C2"/>
    <mergeCell ref="A4:C7"/>
    <mergeCell ref="A23:C2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5"/>
  <sheetViews>
    <sheetView showGridLines="0" tabSelected="1" zoomScale="87" zoomScaleNormal="100" workbookViewId="0">
      <selection activeCell="C30" sqref="C30"/>
    </sheetView>
  </sheetViews>
  <sheetFormatPr baseColWidth="10" defaultColWidth="8.6640625" defaultRowHeight="15" x14ac:dyDescent="0.2"/>
  <cols>
    <col min="1" max="1" width="53.5" customWidth="1"/>
    <col min="2" max="2" width="12" customWidth="1"/>
    <col min="3" max="3" width="28.1640625" customWidth="1"/>
    <col min="4" max="4" width="92.6640625" customWidth="1"/>
  </cols>
  <sheetData>
    <row r="1" spans="1:4" ht="19" x14ac:dyDescent="0.2">
      <c r="A1" s="8" t="s">
        <v>30</v>
      </c>
      <c r="B1" s="8"/>
      <c r="C1" s="8"/>
      <c r="D1" s="8"/>
    </row>
    <row r="2" spans="1:4" x14ac:dyDescent="0.2">
      <c r="A2" s="7" t="s">
        <v>31</v>
      </c>
      <c r="B2" s="7"/>
      <c r="C2" s="7"/>
      <c r="D2" s="7"/>
    </row>
    <row r="4" spans="1:4" ht="16" x14ac:dyDescent="0.2">
      <c r="A4" s="5" t="s">
        <v>32</v>
      </c>
      <c r="B4" s="5"/>
      <c r="C4" s="17">
        <v>2000</v>
      </c>
      <c r="D4" s="9" t="s">
        <v>33</v>
      </c>
    </row>
    <row r="5" spans="1:4" x14ac:dyDescent="0.2">
      <c r="A5" s="4" t="s">
        <v>34</v>
      </c>
      <c r="B5" s="4"/>
      <c r="C5" s="4"/>
      <c r="D5" s="4"/>
    </row>
    <row r="7" spans="1:4" x14ac:dyDescent="0.2">
      <c r="A7" s="10" t="s">
        <v>2</v>
      </c>
      <c r="B7" s="10" t="s">
        <v>3</v>
      </c>
      <c r="C7" s="10" t="s">
        <v>35</v>
      </c>
      <c r="D7" s="18" t="s">
        <v>40</v>
      </c>
    </row>
    <row r="8" spans="1:4" ht="43.5" customHeight="1" x14ac:dyDescent="0.2">
      <c r="A8" s="11" t="s">
        <v>5</v>
      </c>
      <c r="B8" s="12">
        <v>0.17</v>
      </c>
      <c r="C8" s="19">
        <f t="shared" ref="C8:C19" si="0">B8*$C$4</f>
        <v>340</v>
      </c>
      <c r="D8" s="13" t="s">
        <v>54</v>
      </c>
    </row>
    <row r="9" spans="1:4" x14ac:dyDescent="0.2">
      <c r="A9" s="11" t="s">
        <v>7</v>
      </c>
      <c r="B9" s="12">
        <v>0.03</v>
      </c>
      <c r="C9" s="19">
        <f t="shared" si="0"/>
        <v>60</v>
      </c>
      <c r="D9" s="13"/>
    </row>
    <row r="10" spans="1:4" x14ac:dyDescent="0.2">
      <c r="A10" s="11" t="s">
        <v>9</v>
      </c>
      <c r="B10" s="12">
        <v>0.06</v>
      </c>
      <c r="C10" s="19">
        <f t="shared" si="0"/>
        <v>120</v>
      </c>
      <c r="D10" s="13"/>
    </row>
    <row r="11" spans="1:4" ht="43.5" customHeight="1" x14ac:dyDescent="0.2">
      <c r="A11" s="11" t="s">
        <v>11</v>
      </c>
      <c r="B11" s="12">
        <v>0.12</v>
      </c>
      <c r="C11" s="19">
        <f t="shared" si="0"/>
        <v>240</v>
      </c>
      <c r="D11" s="13" t="s">
        <v>53</v>
      </c>
    </row>
    <row r="12" spans="1:4" x14ac:dyDescent="0.2">
      <c r="A12" s="11" t="s">
        <v>13</v>
      </c>
      <c r="B12" s="12">
        <v>7.0000000000000007E-2</v>
      </c>
      <c r="C12" s="19">
        <f t="shared" si="0"/>
        <v>140</v>
      </c>
      <c r="D12" s="13"/>
    </row>
    <row r="13" spans="1:4" x14ac:dyDescent="0.2">
      <c r="A13" s="11" t="s">
        <v>15</v>
      </c>
      <c r="B13" s="12">
        <v>0.08</v>
      </c>
      <c r="C13" s="19">
        <f t="shared" si="0"/>
        <v>160</v>
      </c>
      <c r="D13" s="13"/>
    </row>
    <row r="14" spans="1:4" ht="43.5" customHeight="1" x14ac:dyDescent="0.2">
      <c r="A14" s="11" t="s">
        <v>17</v>
      </c>
      <c r="B14" s="12">
        <v>0.15</v>
      </c>
      <c r="C14" s="19">
        <f t="shared" si="0"/>
        <v>300</v>
      </c>
      <c r="D14" s="13" t="s">
        <v>52</v>
      </c>
    </row>
    <row r="15" spans="1:4" ht="43.5" customHeight="1" x14ac:dyDescent="0.2">
      <c r="A15" s="11" t="s">
        <v>19</v>
      </c>
      <c r="B15" s="12">
        <v>0.02</v>
      </c>
      <c r="C15" s="19">
        <f t="shared" si="0"/>
        <v>40</v>
      </c>
      <c r="D15" s="13" t="s">
        <v>55</v>
      </c>
    </row>
    <row r="16" spans="1:4" x14ac:dyDescent="0.2">
      <c r="A16" s="11" t="s">
        <v>21</v>
      </c>
      <c r="B16" s="12">
        <v>7.0000000000000007E-2</v>
      </c>
      <c r="C16" s="19">
        <f t="shared" si="0"/>
        <v>140</v>
      </c>
      <c r="D16" s="13"/>
    </row>
    <row r="17" spans="1:4" x14ac:dyDescent="0.2">
      <c r="A17" s="11" t="s">
        <v>23</v>
      </c>
      <c r="B17" s="12">
        <v>9.1999999999999998E-3</v>
      </c>
      <c r="C17" s="19">
        <f t="shared" si="0"/>
        <v>18.399999999999999</v>
      </c>
      <c r="D17" s="13"/>
    </row>
    <row r="18" spans="1:4" x14ac:dyDescent="0.2">
      <c r="A18" s="11" t="s">
        <v>25</v>
      </c>
      <c r="B18" s="12">
        <v>0.12</v>
      </c>
      <c r="C18" s="19">
        <f t="shared" si="0"/>
        <v>240</v>
      </c>
      <c r="D18" s="13"/>
    </row>
    <row r="19" spans="1:4" x14ac:dyDescent="0.2">
      <c r="A19" s="11" t="s">
        <v>27</v>
      </c>
      <c r="B19" s="12">
        <v>0.1</v>
      </c>
      <c r="C19" s="19">
        <f t="shared" si="0"/>
        <v>200</v>
      </c>
      <c r="D19" s="13"/>
    </row>
    <row r="20" spans="1:4" x14ac:dyDescent="0.2">
      <c r="A20" s="14" t="s">
        <v>36</v>
      </c>
      <c r="B20" s="15">
        <f>SUM(B8:B19)</f>
        <v>0.99919999999999998</v>
      </c>
      <c r="C20" s="20">
        <f>SUM(C8:C19)</f>
        <v>1998.4</v>
      </c>
      <c r="D20" s="21" t="s">
        <v>37</v>
      </c>
    </row>
    <row r="22" spans="1:4" x14ac:dyDescent="0.2">
      <c r="A22" s="3" t="s">
        <v>38</v>
      </c>
      <c r="B22" s="3"/>
      <c r="C22" s="3"/>
      <c r="D22" s="3"/>
    </row>
    <row r="23" spans="1:4" x14ac:dyDescent="0.2">
      <c r="A23" s="7" t="s">
        <v>57</v>
      </c>
      <c r="B23" s="7"/>
      <c r="C23" s="7"/>
      <c r="D23" s="7"/>
    </row>
    <row r="24" spans="1:4" x14ac:dyDescent="0.2">
      <c r="A24" s="10" t="s">
        <v>39</v>
      </c>
      <c r="B24" s="10" t="s">
        <v>3</v>
      </c>
      <c r="C24" s="10" t="s">
        <v>35</v>
      </c>
      <c r="D24" s="18" t="s">
        <v>40</v>
      </c>
    </row>
    <row r="25" spans="1:4" ht="43.5" customHeight="1" x14ac:dyDescent="0.2">
      <c r="A25" s="11" t="s">
        <v>41</v>
      </c>
      <c r="B25" s="12">
        <v>2.7799999999999998E-2</v>
      </c>
      <c r="C25" s="19">
        <f>B25*$C$4</f>
        <v>55.599999999999994</v>
      </c>
      <c r="D25" s="13" t="s">
        <v>56</v>
      </c>
    </row>
    <row r="26" spans="1:4" ht="43.5" customHeight="1" x14ac:dyDescent="0.2">
      <c r="A26" s="11" t="s">
        <v>42</v>
      </c>
      <c r="B26" s="12">
        <v>2.8899999999999999E-2</v>
      </c>
      <c r="C26" s="19">
        <f>B26*$C$4</f>
        <v>57.8</v>
      </c>
      <c r="D26" s="13"/>
    </row>
    <row r="27" spans="1:4" ht="43.5" customHeight="1" x14ac:dyDescent="0.2">
      <c r="A27" s="11" t="s">
        <v>43</v>
      </c>
      <c r="B27" s="12">
        <v>3.5000000000000003E-2</v>
      </c>
      <c r="C27" s="19">
        <f>B27*$C$4</f>
        <v>70</v>
      </c>
      <c r="D27" s="13" t="s">
        <v>44</v>
      </c>
    </row>
    <row r="29" spans="1:4" x14ac:dyDescent="0.2">
      <c r="A29" s="3" t="s">
        <v>58</v>
      </c>
      <c r="B29" s="3"/>
      <c r="C29" s="3"/>
      <c r="D29" s="3"/>
    </row>
    <row r="30" spans="1:4" ht="16" x14ac:dyDescent="0.2">
      <c r="A30" s="2" t="s">
        <v>45</v>
      </c>
      <c r="B30" s="2"/>
      <c r="C30" s="17">
        <v>14700</v>
      </c>
    </row>
    <row r="31" spans="1:4" ht="16" x14ac:dyDescent="0.2">
      <c r="A31" s="2" t="s">
        <v>46</v>
      </c>
      <c r="B31" s="2"/>
      <c r="C31" s="22">
        <v>12</v>
      </c>
    </row>
    <row r="32" spans="1:4" x14ac:dyDescent="0.2">
      <c r="A32" s="2" t="s">
        <v>47</v>
      </c>
      <c r="B32" s="2"/>
      <c r="C32" s="19">
        <f>C30/(C31*12)</f>
        <v>102.08333333333333</v>
      </c>
    </row>
    <row r="33" spans="1:4" x14ac:dyDescent="0.2">
      <c r="A33" s="2" t="s">
        <v>48</v>
      </c>
      <c r="B33" s="2"/>
      <c r="C33" s="19">
        <f>0.035*$C$4</f>
        <v>70</v>
      </c>
    </row>
    <row r="34" spans="1:4" x14ac:dyDescent="0.2">
      <c r="A34" s="2" t="s">
        <v>49</v>
      </c>
      <c r="B34" s="2"/>
      <c r="C34" s="23">
        <f>C32-C33</f>
        <v>32.083333333333329</v>
      </c>
    </row>
    <row r="35" spans="1:4" ht="42" customHeight="1" x14ac:dyDescent="0.2">
      <c r="A35" s="1" t="s">
        <v>50</v>
      </c>
      <c r="B35" s="1"/>
      <c r="C35" s="1"/>
      <c r="D35" s="1"/>
    </row>
  </sheetData>
  <mergeCells count="13">
    <mergeCell ref="A33:B33"/>
    <mergeCell ref="A34:B34"/>
    <mergeCell ref="A35:D35"/>
    <mergeCell ref="A23:D23"/>
    <mergeCell ref="A29:D29"/>
    <mergeCell ref="A30:B30"/>
    <mergeCell ref="A31:B31"/>
    <mergeCell ref="A32:B32"/>
    <mergeCell ref="A1:D1"/>
    <mergeCell ref="A2:D2"/>
    <mergeCell ref="A4:B4"/>
    <mergeCell ref="A5:D5"/>
    <mergeCell ref="A22:D2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Composizione del NIC</vt:lpstr>
      <vt:lpstr>Simulazione famiglia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Nicola Ferretti</cp:lastModifiedBy>
  <cp:revision>0</cp:revision>
  <dcterms:created xsi:type="dcterms:W3CDTF">2026-06-25T08:54:01Z</dcterms:created>
  <dcterms:modified xsi:type="dcterms:W3CDTF">2026-06-25T18:17:35Z</dcterms:modified>
  <dc:language>en-US</dc:language>
</cp:coreProperties>
</file>